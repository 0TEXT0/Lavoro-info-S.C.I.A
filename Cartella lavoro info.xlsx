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318" documentId="11_92488BC504E3F6C36C3E1A39993E8C1851038387" xr6:coauthVersionLast="47" xr6:coauthVersionMax="47" xr10:uidLastSave="{95954D9B-579F-451E-B6FB-BFA7F4596B68}"/>
  <bookViews>
    <workbookView xWindow="240" yWindow="105" windowWidth="14805" windowHeight="8010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8" i="1"/>
  <c r="F19" i="1"/>
  <c r="F20" i="1"/>
  <c r="F21" i="1"/>
  <c r="F22" i="1"/>
  <c r="F23" i="1"/>
  <c r="F24" i="1"/>
  <c r="F25" i="1"/>
  <c r="F26" i="1"/>
  <c r="F27" i="1"/>
  <c r="I6" i="1"/>
  <c r="I7" i="1"/>
  <c r="I8" i="1"/>
  <c r="I4" i="1"/>
  <c r="I5" i="1"/>
  <c r="I10" i="1"/>
  <c r="I3" i="1"/>
  <c r="I12" i="1" s="1"/>
</calcChain>
</file>

<file path=xl/sharedStrings.xml><?xml version="1.0" encoding="utf-8"?>
<sst xmlns="http://schemas.openxmlformats.org/spreadsheetml/2006/main" count="42" uniqueCount="35">
  <si>
    <t>CONSUMO ENREGETICO ANNUO ELETTRODOMESTICI IN UNA FAMIGLIA MEDIA</t>
  </si>
  <si>
    <t>nome</t>
  </si>
  <si>
    <t>potenza (kW)</t>
  </si>
  <si>
    <t>categoria</t>
  </si>
  <si>
    <t>ore utilizzo medie annue</t>
  </si>
  <si>
    <t>cicli medi</t>
  </si>
  <si>
    <t>potenza min</t>
  </si>
  <si>
    <t>potenza media</t>
  </si>
  <si>
    <t>potenza max</t>
  </si>
  <si>
    <t>energia annuo</t>
  </si>
  <si>
    <t>friggitrice ad aria</t>
  </si>
  <si>
    <t>caricoManuale</t>
  </si>
  <si>
    <t>1,5h a settimana</t>
  </si>
  <si>
    <t>lavastoviglie</t>
  </si>
  <si>
    <t>caricoCiclico</t>
  </si>
  <si>
    <t>5 a settimana</t>
  </si>
  <si>
    <t>lavatrice</t>
  </si>
  <si>
    <t>condizionatore</t>
  </si>
  <si>
    <t>phon</t>
  </si>
  <si>
    <t>20m per famiglia</t>
  </si>
  <si>
    <t>aspirapolvere</t>
  </si>
  <si>
    <t>2 ore a settimana</t>
  </si>
  <si>
    <t>frigorifero</t>
  </si>
  <si>
    <t>234kw/annuo</t>
  </si>
  <si>
    <t>caricoContinuo</t>
  </si>
  <si>
    <t>forno</t>
  </si>
  <si>
    <t>energia annua tot:</t>
  </si>
  <si>
    <t>ANDAMENTO PRODUZIONE FOTOVOLTAICO</t>
  </si>
  <si>
    <t>orario</t>
  </si>
  <si>
    <t>pecentuale produzione</t>
  </si>
  <si>
    <t>percentuale media annua</t>
  </si>
  <si>
    <t>primavera</t>
  </si>
  <si>
    <t>estate</t>
  </si>
  <si>
    <t>autunno</t>
  </si>
  <si>
    <t>inverno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</si>
</sst>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1F1F1F"/>
      <name val="Calibri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4"/>
      <color rgb="FF1F1F1F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10" fontId="3" fillId="0" borderId="3" xfId="0" applyNumberFormat="1" applyFont="1" applyBorder="1" applyAlignment="1">
      <alignment readingOrder="1"/>
    </xf>
    <xf numFmtId="10" fontId="3" fillId="4" borderId="4" xfId="0" applyNumberFormat="1" applyFont="1" applyFill="1" applyBorder="1" applyAlignment="1">
      <alignment readingOrder="1"/>
    </xf>
    <xf numFmtId="10" fontId="3" fillId="4" borderId="3" xfId="0" applyNumberFormat="1" applyFont="1" applyFill="1" applyBorder="1" applyAlignment="1">
      <alignment readingOrder="1"/>
    </xf>
    <xf numFmtId="20" fontId="3" fillId="3" borderId="4" xfId="0" applyNumberFormat="1" applyFont="1" applyFill="1" applyBorder="1" applyAlignment="1">
      <alignment horizontal="left" readingOrder="1"/>
    </xf>
    <xf numFmtId="20" fontId="3" fillId="3" borderId="3" xfId="0" applyNumberFormat="1" applyFont="1" applyFill="1" applyBorder="1" applyAlignment="1">
      <alignment horizontal="left" readingOrder="1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1" xfId="0" applyFont="1" applyFill="1" applyBorder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5" fillId="0" borderId="0" xfId="0" applyNumberFormat="1" applyFont="1" applyBorder="1" applyAlignment="1">
      <alignment readingOrder="1"/>
    </xf>
    <xf numFmtId="0" fontId="0" fillId="0" borderId="0" xfId="0" applyBorder="1"/>
    <xf numFmtId="0" fontId="4" fillId="0" borderId="0" xfId="0" applyFont="1" applyBorder="1" applyAlignment="1">
      <alignment readingOrder="1"/>
    </xf>
    <xf numFmtId="20" fontId="4" fillId="0" borderId="0" xfId="0" applyNumberFormat="1" applyFont="1" applyBorder="1" applyAlignment="1">
      <alignment readingOrder="1"/>
    </xf>
    <xf numFmtId="10" fontId="4" fillId="0" borderId="0" xfId="0" applyNumberFormat="1" applyFont="1" applyBorder="1" applyAlignment="1">
      <alignment readingOrder="1"/>
    </xf>
    <xf numFmtId="10" fontId="6" fillId="0" borderId="3" xfId="0" applyNumberFormat="1" applyFont="1" applyBorder="1" applyAlignment="1">
      <alignment readingOrder="1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 energetico annuo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Foglio1!$A$3:$A$10</c:f>
              <c:strCache>
                <c:ptCount val="8"/>
                <c:pt idx="0">
                  <c:v>friggitrice ad aria</c:v>
                </c:pt>
                <c:pt idx="1">
                  <c:v>lavastoviglie</c:v>
                </c:pt>
                <c:pt idx="2">
                  <c:v>lavatrice</c:v>
                </c:pt>
                <c:pt idx="3">
                  <c:v>condizionatore</c:v>
                </c:pt>
                <c:pt idx="4">
                  <c:v>phon</c:v>
                </c:pt>
                <c:pt idx="5">
                  <c:v>aspirapolvere</c:v>
                </c:pt>
                <c:pt idx="6">
                  <c:v>frigorifero</c:v>
                </c:pt>
                <c:pt idx="7">
                  <c:v>forno</c:v>
                </c:pt>
              </c:strCache>
            </c:strRef>
          </c:cat>
          <c:val>
            <c:numRef>
              <c:f>Foglio1!$I$3:$I$10</c:f>
              <c:numCache>
                <c:formatCode>General</c:formatCode>
                <c:ptCount val="8"/>
                <c:pt idx="0">
                  <c:v>180</c:v>
                </c:pt>
                <c:pt idx="1">
                  <c:v>270</c:v>
                </c:pt>
                <c:pt idx="2">
                  <c:v>280</c:v>
                </c:pt>
                <c:pt idx="3">
                  <c:v>560</c:v>
                </c:pt>
                <c:pt idx="4">
                  <c:v>156</c:v>
                </c:pt>
                <c:pt idx="5">
                  <c:v>50</c:v>
                </c:pt>
                <c:pt idx="6">
                  <c:v>234</c:v>
                </c:pt>
                <c:pt idx="7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633-470F-878A-AAE559A7A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205384"/>
        <c:axId val="31236104"/>
      </c:barChart>
      <c:catAx>
        <c:axId val="31205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6104"/>
        <c:crosses val="autoZero"/>
        <c:auto val="1"/>
        <c:lblAlgn val="ctr"/>
        <c:lblOffset val="100"/>
        <c:noMultiLvlLbl val="0"/>
      </c:catAx>
      <c:valAx>
        <c:axId val="31236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05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andamento produzione fotovoltaico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{"primavera"}</c:f>
              <c:strCache>
                <c:ptCount val="1"/>
                <c:pt idx="0">
                  <c:v>primavera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Foglio1!$A$17:$A$27</c:f>
              <c:numCache>
                <c:formatCode>h:mm</c:formatCode>
                <c:ptCount val="11"/>
                <c:pt idx="0">
                  <c:v>0.29166666666666669</c:v>
                </c:pt>
                <c:pt idx="1">
                  <c:v>0.33333333333333331</c:v>
                </c:pt>
                <c:pt idx="2">
                  <c:v>0.375</c:v>
                </c:pt>
                <c:pt idx="3">
                  <c:v>0.41666666666666669</c:v>
                </c:pt>
                <c:pt idx="4">
                  <c:v>0.45833333333333331</c:v>
                </c:pt>
                <c:pt idx="5">
                  <c:v>0.5</c:v>
                </c:pt>
                <c:pt idx="6">
                  <c:v>0.54166666666666663</c:v>
                </c:pt>
                <c:pt idx="7">
                  <c:v>0.58333333333333337</c:v>
                </c:pt>
                <c:pt idx="8">
                  <c:v>0.625</c:v>
                </c:pt>
                <c:pt idx="9">
                  <c:v>0.66666666666666663</c:v>
                </c:pt>
                <c:pt idx="10">
                  <c:v>0.70833333333333337</c:v>
                </c:pt>
              </c:numCache>
            </c:numRef>
          </c:cat>
          <c:val>
            <c:numRef>
              <c:f>Foglio1!B17:B27</c:f>
              <c:numCache>
                <c:formatCode>0.00%</c:formatCode>
                <c:ptCount val="11"/>
                <c:pt idx="0">
                  <c:v>0.1</c:v>
                </c:pt>
                <c:pt idx="1">
                  <c:v>0.25</c:v>
                </c:pt>
                <c:pt idx="2">
                  <c:v>0.45</c:v>
                </c:pt>
                <c:pt idx="3">
                  <c:v>0.65</c:v>
                </c:pt>
                <c:pt idx="4">
                  <c:v>0.8</c:v>
                </c:pt>
                <c:pt idx="5">
                  <c:v>0.85</c:v>
                </c:pt>
                <c:pt idx="6">
                  <c:v>0.82</c:v>
                </c:pt>
                <c:pt idx="7">
                  <c:v>0.7</c:v>
                </c:pt>
                <c:pt idx="8">
                  <c:v>0.5</c:v>
                </c:pt>
                <c:pt idx="9">
                  <c:v>0.3</c:v>
                </c:pt>
                <c:pt idx="1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189-4612-8BC6-7438BCE2BD49}"/>
            </c:ext>
          </c:extLst>
        </c:ser>
        <c:ser>
          <c:idx val="1"/>
          <c:order val="1"/>
          <c:tx>
            <c:strRef>
              <c:f>{"estate"}</c:f>
              <c:strCache>
                <c:ptCount val="1"/>
                <c:pt idx="0">
                  <c:v>estate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Foglio1!$A$17:$A$27</c:f>
              <c:numCache>
                <c:formatCode>h:mm</c:formatCode>
                <c:ptCount val="11"/>
                <c:pt idx="0">
                  <c:v>0.29166666666666669</c:v>
                </c:pt>
                <c:pt idx="1">
                  <c:v>0.33333333333333331</c:v>
                </c:pt>
                <c:pt idx="2">
                  <c:v>0.375</c:v>
                </c:pt>
                <c:pt idx="3">
                  <c:v>0.41666666666666669</c:v>
                </c:pt>
                <c:pt idx="4">
                  <c:v>0.45833333333333331</c:v>
                </c:pt>
                <c:pt idx="5">
                  <c:v>0.5</c:v>
                </c:pt>
                <c:pt idx="6">
                  <c:v>0.54166666666666663</c:v>
                </c:pt>
                <c:pt idx="7">
                  <c:v>0.58333333333333337</c:v>
                </c:pt>
                <c:pt idx="8">
                  <c:v>0.625</c:v>
                </c:pt>
                <c:pt idx="9">
                  <c:v>0.66666666666666663</c:v>
                </c:pt>
                <c:pt idx="10">
                  <c:v>0.70833333333333337</c:v>
                </c:pt>
              </c:numCache>
            </c:numRef>
          </c:cat>
          <c:val>
            <c:numRef>
              <c:f>Foglio1!C17:C27</c:f>
              <c:numCache>
                <c:formatCode>0.00%</c:formatCode>
                <c:ptCount val="11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0.75</c:v>
                </c:pt>
                <c:pt idx="4">
                  <c:v>0.9</c:v>
                </c:pt>
                <c:pt idx="5">
                  <c:v>0.95</c:v>
                </c:pt>
                <c:pt idx="6">
                  <c:v>0.92</c:v>
                </c:pt>
                <c:pt idx="7">
                  <c:v>0.8</c:v>
                </c:pt>
                <c:pt idx="8">
                  <c:v>0.65</c:v>
                </c:pt>
                <c:pt idx="9">
                  <c:v>0.45</c:v>
                </c:pt>
                <c:pt idx="10">
                  <c:v>0.2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4189-4612-8BC6-7438BCE2BD49}"/>
            </c:ext>
          </c:extLst>
        </c:ser>
        <c:ser>
          <c:idx val="2"/>
          <c:order val="2"/>
          <c:tx>
            <c:strRef>
              <c:f>{"autunno"}</c:f>
              <c:strCache>
                <c:ptCount val="1"/>
                <c:pt idx="0">
                  <c:v>autunno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Foglio1!$A$17:$A$27</c:f>
              <c:numCache>
                <c:formatCode>h:mm</c:formatCode>
                <c:ptCount val="11"/>
                <c:pt idx="0">
                  <c:v>0.29166666666666669</c:v>
                </c:pt>
                <c:pt idx="1">
                  <c:v>0.33333333333333331</c:v>
                </c:pt>
                <c:pt idx="2">
                  <c:v>0.375</c:v>
                </c:pt>
                <c:pt idx="3">
                  <c:v>0.41666666666666669</c:v>
                </c:pt>
                <c:pt idx="4">
                  <c:v>0.45833333333333331</c:v>
                </c:pt>
                <c:pt idx="5">
                  <c:v>0.5</c:v>
                </c:pt>
                <c:pt idx="6">
                  <c:v>0.54166666666666663</c:v>
                </c:pt>
                <c:pt idx="7">
                  <c:v>0.58333333333333337</c:v>
                </c:pt>
                <c:pt idx="8">
                  <c:v>0.625</c:v>
                </c:pt>
                <c:pt idx="9">
                  <c:v>0.66666666666666663</c:v>
                </c:pt>
                <c:pt idx="10">
                  <c:v>0.70833333333333337</c:v>
                </c:pt>
              </c:numCache>
            </c:numRef>
          </c:cat>
          <c:val>
            <c:numRef>
              <c:f>Foglio1!D17:D27</c:f>
              <c:numCache>
                <c:formatCode>0.00%</c:formatCode>
                <c:ptCount val="11"/>
                <c:pt idx="0">
                  <c:v>0.05</c:v>
                </c:pt>
                <c:pt idx="1">
                  <c:v>0.15</c:v>
                </c:pt>
                <c:pt idx="2">
                  <c:v>0.35</c:v>
                </c:pt>
                <c:pt idx="3">
                  <c:v>0.5</c:v>
                </c:pt>
                <c:pt idx="4">
                  <c:v>0.65</c:v>
                </c:pt>
                <c:pt idx="5">
                  <c:v>0.7</c:v>
                </c:pt>
                <c:pt idx="6">
                  <c:v>0.68</c:v>
                </c:pt>
                <c:pt idx="7">
                  <c:v>0.55000000000000004</c:v>
                </c:pt>
                <c:pt idx="8">
                  <c:v>0.35</c:v>
                </c:pt>
                <c:pt idx="9">
                  <c:v>0.15</c:v>
                </c:pt>
                <c:pt idx="10">
                  <c:v>0.05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4189-4612-8BC6-7438BCE2BD49}"/>
            </c:ext>
          </c:extLst>
        </c:ser>
        <c:ser>
          <c:idx val="3"/>
          <c:order val="3"/>
          <c:tx>
            <c:strRef>
              <c:f>{"inverno"}</c:f>
              <c:strCache>
                <c:ptCount val="1"/>
                <c:pt idx="0">
                  <c:v>inverno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Foglio1!$A$17:$A$27</c:f>
              <c:numCache>
                <c:formatCode>h:mm</c:formatCode>
                <c:ptCount val="11"/>
                <c:pt idx="0">
                  <c:v>0.29166666666666669</c:v>
                </c:pt>
                <c:pt idx="1">
                  <c:v>0.33333333333333331</c:v>
                </c:pt>
                <c:pt idx="2">
                  <c:v>0.375</c:v>
                </c:pt>
                <c:pt idx="3">
                  <c:v>0.41666666666666669</c:v>
                </c:pt>
                <c:pt idx="4">
                  <c:v>0.45833333333333331</c:v>
                </c:pt>
                <c:pt idx="5">
                  <c:v>0.5</c:v>
                </c:pt>
                <c:pt idx="6">
                  <c:v>0.54166666666666663</c:v>
                </c:pt>
                <c:pt idx="7">
                  <c:v>0.58333333333333337</c:v>
                </c:pt>
                <c:pt idx="8">
                  <c:v>0.625</c:v>
                </c:pt>
                <c:pt idx="9">
                  <c:v>0.66666666666666663</c:v>
                </c:pt>
                <c:pt idx="10">
                  <c:v>0.70833333333333337</c:v>
                </c:pt>
              </c:numCache>
            </c:numRef>
          </c:cat>
          <c:val>
            <c:numRef>
              <c:f>Foglio1!E17:E27</c:f>
              <c:numCache>
                <c:formatCode>0.00%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0.4</c:v>
                </c:pt>
                <c:pt idx="4">
                  <c:v>0.55000000000000004</c:v>
                </c:pt>
                <c:pt idx="5">
                  <c:v>0.6</c:v>
                </c:pt>
                <c:pt idx="6">
                  <c:v>0.57999999999999996</c:v>
                </c:pt>
                <c:pt idx="7">
                  <c:v>0.45</c:v>
                </c:pt>
                <c:pt idx="8">
                  <c:v>0.25</c:v>
                </c:pt>
                <c:pt idx="9">
                  <c:v>0.05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4189-4612-8BC6-7438BCE2BD49}"/>
            </c:ext>
          </c:extLst>
        </c:ser>
        <c:ser>
          <c:idx val="4"/>
          <c:order val="4"/>
          <c:tx>
            <c:strRef>
              <c:f>{"media annua"}</c:f>
              <c:strCache>
                <c:ptCount val="1"/>
                <c:pt idx="0">
                  <c:v>media annua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Foglio1!$A$17:$A$27</c:f>
              <c:numCache>
                <c:formatCode>h:mm</c:formatCode>
                <c:ptCount val="11"/>
                <c:pt idx="0">
                  <c:v>0.29166666666666669</c:v>
                </c:pt>
                <c:pt idx="1">
                  <c:v>0.33333333333333331</c:v>
                </c:pt>
                <c:pt idx="2">
                  <c:v>0.375</c:v>
                </c:pt>
                <c:pt idx="3">
                  <c:v>0.41666666666666669</c:v>
                </c:pt>
                <c:pt idx="4">
                  <c:v>0.45833333333333331</c:v>
                </c:pt>
                <c:pt idx="5">
                  <c:v>0.5</c:v>
                </c:pt>
                <c:pt idx="6">
                  <c:v>0.54166666666666663</c:v>
                </c:pt>
                <c:pt idx="7">
                  <c:v>0.58333333333333337</c:v>
                </c:pt>
                <c:pt idx="8">
                  <c:v>0.625</c:v>
                </c:pt>
                <c:pt idx="9">
                  <c:v>0.66666666666666663</c:v>
                </c:pt>
                <c:pt idx="10">
                  <c:v>0.70833333333333337</c:v>
                </c:pt>
              </c:numCache>
            </c:numRef>
          </c:cat>
          <c:val>
            <c:numRef>
              <c:f>Foglio1!$F$17:$F$27</c:f>
              <c:numCache>
                <c:formatCode>0.00%</c:formatCode>
                <c:ptCount val="11"/>
                <c:pt idx="0">
                  <c:v>7.4999999999999997E-2</c:v>
                </c:pt>
                <c:pt idx="1">
                  <c:v>7.4999999999999997E-2</c:v>
                </c:pt>
                <c:pt idx="2">
                  <c:v>0.21249999999999999</c:v>
                </c:pt>
                <c:pt idx="3">
                  <c:v>0.4</c:v>
                </c:pt>
                <c:pt idx="4">
                  <c:v>0.57499999999999996</c:v>
                </c:pt>
                <c:pt idx="5">
                  <c:v>0.72500000000000009</c:v>
                </c:pt>
                <c:pt idx="6">
                  <c:v>0.77500000000000002</c:v>
                </c:pt>
                <c:pt idx="7">
                  <c:v>0.75</c:v>
                </c:pt>
                <c:pt idx="8">
                  <c:v>0.625</c:v>
                </c:pt>
                <c:pt idx="9">
                  <c:v>0.4375</c:v>
                </c:pt>
                <c:pt idx="10">
                  <c:v>0.23750000000000002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4189-4612-8BC6-7438BCE2B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1712519"/>
        <c:axId val="1731716103"/>
      </c:lineChart>
      <c:catAx>
        <c:axId val="173171251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716103"/>
        <c:crosses val="autoZero"/>
        <c:auto val="1"/>
        <c:lblAlgn val="ctr"/>
        <c:lblOffset val="100"/>
        <c:noMultiLvlLbl val="0"/>
      </c:catAx>
      <c:valAx>
        <c:axId val="1731716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712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1</xdr:row>
      <xdr:rowOff>190500</xdr:rowOff>
    </xdr:from>
    <xdr:to>
      <xdr:col>21</xdr:col>
      <xdr:colOff>533400</xdr:colOff>
      <xdr:row>13</xdr:row>
      <xdr:rowOff>561975</xdr:rowOff>
    </xdr:to>
    <xdr:graphicFrame macro="">
      <xdr:nvGraphicFramePr>
        <xdr:cNvPr id="7" name="Grafico 1">
          <a:extLst>
            <a:ext uri="{FF2B5EF4-FFF2-40B4-BE49-F238E27FC236}">
              <a16:creationId xmlns:a16="http://schemas.microsoft.com/office/drawing/2014/main" id="{692C2722-689B-10DD-4593-5D7ACED20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15</xdr:row>
      <xdr:rowOff>9525</xdr:rowOff>
    </xdr:from>
    <xdr:to>
      <xdr:col>15</xdr:col>
      <xdr:colOff>0</xdr:colOff>
      <xdr:row>25</xdr:row>
      <xdr:rowOff>381000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662D40B-6595-97AC-AAB7-FB3F696A79C9}"/>
            </a:ext>
            <a:ext uri="{147F2762-F138-4A5C-976F-8EAC2B608ADB}">
              <a16:predDERef xmlns:a16="http://schemas.microsoft.com/office/drawing/2014/main" pred="{692C2722-689B-10DD-4593-5D7ACED20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>
      <selection activeCell="C4" sqref="C4"/>
    </sheetView>
  </sheetViews>
  <sheetFormatPr defaultColWidth="9.140625" defaultRowHeight="15"/>
  <cols>
    <col min="1" max="4" width="20.140625" customWidth="1"/>
    <col min="5" max="5" width="20.85546875" customWidth="1"/>
    <col min="6" max="9" width="20.140625" customWidth="1"/>
  </cols>
  <sheetData>
    <row r="1" spans="1:9" ht="39.7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9" ht="30.75" customHeight="1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ht="30.75" customHeight="1">
      <c r="A3" s="5" t="s">
        <v>10</v>
      </c>
      <c r="B3" s="12">
        <v>2.7</v>
      </c>
      <c r="C3" s="12" t="s">
        <v>11</v>
      </c>
      <c r="D3" s="12">
        <v>100</v>
      </c>
      <c r="E3" s="12" t="s">
        <v>12</v>
      </c>
      <c r="F3" s="12">
        <v>1.2</v>
      </c>
      <c r="G3" s="12">
        <v>1.8</v>
      </c>
      <c r="H3" s="12">
        <v>2.7</v>
      </c>
      <c r="I3" s="13">
        <f>G3*D3</f>
        <v>180</v>
      </c>
    </row>
    <row r="4" spans="1:9" ht="30.75" customHeight="1">
      <c r="A4" s="5" t="s">
        <v>13</v>
      </c>
      <c r="B4" s="12">
        <v>2.4</v>
      </c>
      <c r="C4" s="12" t="s">
        <v>14</v>
      </c>
      <c r="D4" s="12">
        <v>360</v>
      </c>
      <c r="E4" s="12" t="s">
        <v>15</v>
      </c>
      <c r="F4" s="12">
        <v>0.1</v>
      </c>
      <c r="G4" s="12">
        <v>0.75</v>
      </c>
      <c r="H4" s="12">
        <v>2.4</v>
      </c>
      <c r="I4" s="13">
        <f t="shared" ref="I4:I10" si="0">G4*D4</f>
        <v>270</v>
      </c>
    </row>
    <row r="5" spans="1:9" ht="30.75" customHeight="1">
      <c r="A5" s="5" t="s">
        <v>16</v>
      </c>
      <c r="B5" s="12">
        <v>2.2999999999999998</v>
      </c>
      <c r="C5" s="12" t="s">
        <v>14</v>
      </c>
      <c r="D5" s="12">
        <v>400</v>
      </c>
      <c r="E5" s="12" t="s">
        <v>15</v>
      </c>
      <c r="F5" s="12">
        <v>0.05</v>
      </c>
      <c r="G5" s="12">
        <v>0.7</v>
      </c>
      <c r="H5" s="12">
        <v>2.2999999999999998</v>
      </c>
      <c r="I5" s="13">
        <f t="shared" si="0"/>
        <v>280</v>
      </c>
    </row>
    <row r="6" spans="1:9" ht="30.75" customHeight="1">
      <c r="A6" s="6" t="s">
        <v>17</v>
      </c>
      <c r="B6" s="12">
        <v>1.5</v>
      </c>
      <c r="C6" s="12" t="s">
        <v>11</v>
      </c>
      <c r="D6" s="12">
        <v>700</v>
      </c>
      <c r="E6" s="12"/>
      <c r="F6" s="12">
        <v>0.03</v>
      </c>
      <c r="G6" s="12">
        <v>0.8</v>
      </c>
      <c r="H6" s="12">
        <v>1.5</v>
      </c>
      <c r="I6" s="13">
        <f t="shared" si="0"/>
        <v>560</v>
      </c>
    </row>
    <row r="7" spans="1:9" ht="30.75" customHeight="1">
      <c r="A7" s="5" t="s">
        <v>18</v>
      </c>
      <c r="B7" s="12">
        <v>0.188</v>
      </c>
      <c r="C7" s="12" t="s">
        <v>11</v>
      </c>
      <c r="D7" s="12">
        <v>120</v>
      </c>
      <c r="E7" s="12" t="s">
        <v>19</v>
      </c>
      <c r="F7" s="12">
        <v>0.8</v>
      </c>
      <c r="G7" s="12">
        <v>1.3</v>
      </c>
      <c r="H7" s="12">
        <v>1.8</v>
      </c>
      <c r="I7" s="13">
        <f t="shared" si="0"/>
        <v>156</v>
      </c>
    </row>
    <row r="8" spans="1:9" ht="30.75" customHeight="1">
      <c r="A8" s="5" t="s">
        <v>20</v>
      </c>
      <c r="B8" s="12">
        <v>0.7</v>
      </c>
      <c r="C8" s="12" t="s">
        <v>11</v>
      </c>
      <c r="D8" s="12">
        <v>100</v>
      </c>
      <c r="E8" s="12" t="s">
        <v>21</v>
      </c>
      <c r="F8" s="12">
        <v>0.3</v>
      </c>
      <c r="G8" s="12">
        <v>0.5</v>
      </c>
      <c r="H8" s="12">
        <v>0.7</v>
      </c>
      <c r="I8" s="13">
        <f t="shared" si="0"/>
        <v>50</v>
      </c>
    </row>
    <row r="9" spans="1:9" ht="30.75" customHeight="1">
      <c r="A9" s="5" t="s">
        <v>22</v>
      </c>
      <c r="B9" s="12" t="s">
        <v>23</v>
      </c>
      <c r="C9" s="12" t="s">
        <v>24</v>
      </c>
      <c r="D9" s="12"/>
      <c r="E9" s="12"/>
      <c r="F9" s="12"/>
      <c r="G9" s="12"/>
      <c r="H9" s="12"/>
      <c r="I9" s="13">
        <v>234</v>
      </c>
    </row>
    <row r="10" spans="1:9" ht="30.75" customHeight="1">
      <c r="A10" s="5" t="s">
        <v>25</v>
      </c>
      <c r="B10" s="12">
        <v>2.4</v>
      </c>
      <c r="C10" s="12" t="s">
        <v>14</v>
      </c>
      <c r="D10" s="12">
        <v>100</v>
      </c>
      <c r="E10" s="12" t="s">
        <v>21</v>
      </c>
      <c r="F10" s="12">
        <v>0.8</v>
      </c>
      <c r="G10" s="12">
        <v>1.5</v>
      </c>
      <c r="H10" s="12">
        <v>2.4</v>
      </c>
      <c r="I10" s="14">
        <f t="shared" si="0"/>
        <v>150</v>
      </c>
    </row>
    <row r="11" spans="1:9" ht="30.75" customHeight="1">
      <c r="A11" s="1"/>
      <c r="B11" s="2"/>
      <c r="I11" s="15" t="s">
        <v>26</v>
      </c>
    </row>
    <row r="12" spans="1:9" ht="18.75">
      <c r="I12" s="15">
        <f>I3+I4+I5+I6+I7+I8+I9+I10</f>
        <v>1880</v>
      </c>
    </row>
    <row r="14" spans="1:9" ht="45.75" customHeight="1">
      <c r="A14" s="19" t="s">
        <v>27</v>
      </c>
      <c r="B14" s="19"/>
      <c r="C14" s="19"/>
      <c r="D14" s="19"/>
      <c r="E14" s="19"/>
      <c r="F14" s="19"/>
    </row>
    <row r="15" spans="1:9" ht="30.75" customHeight="1">
      <c r="A15" s="17" t="s">
        <v>28</v>
      </c>
      <c r="B15" s="18" t="s">
        <v>29</v>
      </c>
      <c r="C15" s="18"/>
      <c r="D15" s="18"/>
      <c r="E15" s="18"/>
      <c r="F15" s="18" t="s">
        <v>30</v>
      </c>
    </row>
    <row r="16" spans="1:9" ht="30.75" customHeight="1">
      <c r="A16" s="17"/>
      <c r="B16" s="4" t="s">
        <v>31</v>
      </c>
      <c r="C16" s="3" t="s">
        <v>32</v>
      </c>
      <c r="D16" s="3" t="s">
        <v>33</v>
      </c>
      <c r="E16" s="3" t="s">
        <v>34</v>
      </c>
      <c r="F16" s="18"/>
    </row>
    <row r="17" spans="1:6" ht="30.75" customHeight="1">
      <c r="A17" s="10">
        <v>0.29166666666666669</v>
      </c>
      <c r="B17" s="7">
        <v>0.1</v>
      </c>
      <c r="C17" s="7">
        <v>0.15</v>
      </c>
      <c r="D17" s="7">
        <v>0.05</v>
      </c>
      <c r="E17" s="7">
        <v>0</v>
      </c>
      <c r="F17" s="8">
        <f>AVERAGE(B17:E17)</f>
        <v>7.4999999999999997E-2</v>
      </c>
    </row>
    <row r="18" spans="1:6" ht="30.75" customHeight="1">
      <c r="A18" s="11">
        <v>0.33333333333333331</v>
      </c>
      <c r="B18" s="7">
        <v>0.25</v>
      </c>
      <c r="C18" s="7">
        <v>0.35</v>
      </c>
      <c r="D18" s="7">
        <v>0.15</v>
      </c>
      <c r="E18" s="7">
        <v>0.1</v>
      </c>
      <c r="F18" s="9">
        <f>AVERAGE(B17:E17)</f>
        <v>7.4999999999999997E-2</v>
      </c>
    </row>
    <row r="19" spans="1:6" ht="30.75" customHeight="1">
      <c r="A19" s="11">
        <v>0.375</v>
      </c>
      <c r="B19" s="7">
        <v>0.45</v>
      </c>
      <c r="C19" s="7">
        <v>0.55000000000000004</v>
      </c>
      <c r="D19" s="7">
        <v>0.35</v>
      </c>
      <c r="E19" s="7">
        <v>0.25</v>
      </c>
      <c r="F19" s="9">
        <f>AVERAGE(B18:E18)</f>
        <v>0.21249999999999999</v>
      </c>
    </row>
    <row r="20" spans="1:6" ht="30.75" customHeight="1">
      <c r="A20" s="11">
        <v>0.41666666666666669</v>
      </c>
      <c r="B20" s="7">
        <v>0.65</v>
      </c>
      <c r="C20" s="7">
        <v>0.75</v>
      </c>
      <c r="D20" s="7">
        <v>0.5</v>
      </c>
      <c r="E20" s="7">
        <v>0.4</v>
      </c>
      <c r="F20" s="9">
        <f>AVERAGE(B19:E19)</f>
        <v>0.4</v>
      </c>
    </row>
    <row r="21" spans="1:6" ht="30.75" customHeight="1">
      <c r="A21" s="11">
        <v>0.45833333333333331</v>
      </c>
      <c r="B21" s="7">
        <v>0.8</v>
      </c>
      <c r="C21" s="7">
        <v>0.9</v>
      </c>
      <c r="D21" s="7">
        <v>0.65</v>
      </c>
      <c r="E21" s="7">
        <v>0.55000000000000004</v>
      </c>
      <c r="F21" s="9">
        <f>AVERAGE(B20:E20)</f>
        <v>0.57499999999999996</v>
      </c>
    </row>
    <row r="22" spans="1:6" ht="30.75" customHeight="1">
      <c r="A22" s="11">
        <v>0.5</v>
      </c>
      <c r="B22" s="25">
        <v>0.85</v>
      </c>
      <c r="C22" s="25">
        <v>0.95</v>
      </c>
      <c r="D22" s="25">
        <v>0.7</v>
      </c>
      <c r="E22" s="25">
        <v>0.6</v>
      </c>
      <c r="F22" s="9">
        <f>AVERAGE(B21:E21)</f>
        <v>0.72500000000000009</v>
      </c>
    </row>
    <row r="23" spans="1:6" ht="30.75" customHeight="1">
      <c r="A23" s="11">
        <v>0.54166666666666663</v>
      </c>
      <c r="B23" s="7">
        <v>0.82</v>
      </c>
      <c r="C23" s="7">
        <v>0.92</v>
      </c>
      <c r="D23" s="7">
        <v>0.68</v>
      </c>
      <c r="E23" s="7">
        <v>0.57999999999999996</v>
      </c>
      <c r="F23" s="9">
        <f>AVERAGE(B22:E22)</f>
        <v>0.77500000000000002</v>
      </c>
    </row>
    <row r="24" spans="1:6" ht="30.75" customHeight="1">
      <c r="A24" s="11">
        <v>0.58333333333333337</v>
      </c>
      <c r="B24" s="7">
        <v>0.7</v>
      </c>
      <c r="C24" s="7">
        <v>0.8</v>
      </c>
      <c r="D24" s="7">
        <v>0.55000000000000004</v>
      </c>
      <c r="E24" s="7">
        <v>0.45</v>
      </c>
      <c r="F24" s="9">
        <f>AVERAGE(B23:E23)</f>
        <v>0.75</v>
      </c>
    </row>
    <row r="25" spans="1:6" ht="30.75" customHeight="1">
      <c r="A25" s="11">
        <v>0.625</v>
      </c>
      <c r="B25" s="7">
        <v>0.5</v>
      </c>
      <c r="C25" s="7">
        <v>0.65</v>
      </c>
      <c r="D25" s="7">
        <v>0.35</v>
      </c>
      <c r="E25" s="7">
        <v>0.25</v>
      </c>
      <c r="F25" s="9">
        <f>AVERAGE(B24:E24)</f>
        <v>0.625</v>
      </c>
    </row>
    <row r="26" spans="1:6" ht="30.75" customHeight="1">
      <c r="A26" s="11">
        <v>0.66666666666666663</v>
      </c>
      <c r="B26" s="7">
        <v>0.3</v>
      </c>
      <c r="C26" s="7">
        <v>0.45</v>
      </c>
      <c r="D26" s="7">
        <v>0.15</v>
      </c>
      <c r="E26" s="7">
        <v>0.05</v>
      </c>
      <c r="F26" s="9">
        <f>AVERAGE(B25:E25)</f>
        <v>0.4375</v>
      </c>
    </row>
    <row r="27" spans="1:6" ht="30.75" customHeight="1">
      <c r="A27" s="11">
        <v>0.70833333333333337</v>
      </c>
      <c r="B27" s="7">
        <v>0.1</v>
      </c>
      <c r="C27" s="7">
        <v>0.2</v>
      </c>
      <c r="D27" s="7">
        <v>0.05</v>
      </c>
      <c r="E27" s="7">
        <v>0</v>
      </c>
      <c r="F27" s="9">
        <f>AVERAGE(B26:E26)</f>
        <v>0.23750000000000002</v>
      </c>
    </row>
    <row r="29" spans="1:6">
      <c r="B29" s="20"/>
      <c r="C29" s="20"/>
      <c r="D29" s="20"/>
      <c r="E29" s="20"/>
      <c r="F29" s="21"/>
    </row>
    <row r="30" spans="1:6">
      <c r="B30" s="21"/>
      <c r="C30" s="21"/>
      <c r="D30" s="21"/>
      <c r="E30" s="21"/>
      <c r="F30" s="21"/>
    </row>
    <row r="31" spans="1:6">
      <c r="B31" s="22"/>
      <c r="C31" s="22"/>
      <c r="D31" s="22"/>
      <c r="E31" s="22"/>
      <c r="F31" s="22"/>
    </row>
    <row r="32" spans="1:6">
      <c r="B32" s="22"/>
      <c r="C32" s="20"/>
      <c r="D32" s="20"/>
      <c r="E32" s="20"/>
      <c r="F32" s="20"/>
    </row>
    <row r="33" spans="2:6">
      <c r="B33" s="23"/>
      <c r="C33" s="20"/>
      <c r="D33" s="20"/>
      <c r="E33" s="20"/>
      <c r="F33" s="20"/>
    </row>
    <row r="34" spans="2:6">
      <c r="B34" s="23"/>
      <c r="C34" s="20"/>
      <c r="D34" s="20"/>
      <c r="E34" s="20"/>
      <c r="F34" s="20"/>
    </row>
    <row r="35" spans="2:6">
      <c r="B35" s="23"/>
      <c r="C35" s="20"/>
      <c r="D35" s="20"/>
      <c r="E35" s="20"/>
      <c r="F35" s="20"/>
    </row>
    <row r="36" spans="2:6">
      <c r="B36" s="23"/>
      <c r="C36" s="20"/>
      <c r="D36" s="20"/>
      <c r="E36" s="20"/>
      <c r="F36" s="20"/>
    </row>
    <row r="37" spans="2:6">
      <c r="B37" s="23"/>
      <c r="C37" s="20"/>
      <c r="D37" s="20"/>
      <c r="E37" s="20"/>
      <c r="F37" s="20"/>
    </row>
    <row r="38" spans="2:6">
      <c r="B38" s="22"/>
      <c r="C38" s="24"/>
      <c r="D38" s="24"/>
      <c r="E38" s="24"/>
      <c r="F38" s="24"/>
    </row>
    <row r="39" spans="2:6">
      <c r="B39" s="23"/>
      <c r="C39" s="20"/>
      <c r="D39" s="20"/>
      <c r="E39" s="20"/>
      <c r="F39" s="20"/>
    </row>
    <row r="40" spans="2:6">
      <c r="B40" s="23"/>
      <c r="C40" s="20"/>
      <c r="D40" s="20"/>
      <c r="E40" s="20"/>
      <c r="F40" s="20"/>
    </row>
    <row r="41" spans="2:6">
      <c r="B41" s="23"/>
      <c r="C41" s="20"/>
      <c r="D41" s="20"/>
      <c r="E41" s="20"/>
      <c r="F41" s="20"/>
    </row>
    <row r="42" spans="2:6">
      <c r="B42" s="23"/>
      <c r="C42" s="20"/>
      <c r="D42" s="20"/>
      <c r="E42" s="20"/>
      <c r="F42" s="20"/>
    </row>
    <row r="43" spans="2:6">
      <c r="B43" s="23"/>
      <c r="C43" s="20"/>
      <c r="D43" s="20"/>
      <c r="E43" s="20"/>
      <c r="F43" s="20"/>
    </row>
    <row r="44" spans="2:6">
      <c r="B44" s="22"/>
      <c r="C44" s="20"/>
      <c r="D44" s="20"/>
      <c r="E44" s="20"/>
      <c r="F44" s="20"/>
    </row>
    <row r="45" spans="2:6">
      <c r="B45" s="21"/>
      <c r="C45" s="21"/>
      <c r="D45" s="21"/>
      <c r="E45" s="21"/>
      <c r="F45" s="21"/>
    </row>
  </sheetData>
  <mergeCells count="5">
    <mergeCell ref="A1:I1"/>
    <mergeCell ref="A15:A16"/>
    <mergeCell ref="B15:E15"/>
    <mergeCell ref="F15:F16"/>
    <mergeCell ref="A14:F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Utente guest</cp:lastModifiedBy>
  <cp:revision/>
  <dcterms:created xsi:type="dcterms:W3CDTF">2026-01-22T09:54:27Z</dcterms:created>
  <dcterms:modified xsi:type="dcterms:W3CDTF">2026-02-12T10:41:58Z</dcterms:modified>
  <cp:category/>
  <cp:contentStatus/>
</cp:coreProperties>
</file>